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RS f1040 881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<sst xmlns="http://schemas.openxmlformats.org/spreadsheetml/2006/main" count="120" uniqueCount="88">
  <si>
    <t xml:space="preserve">SCHEDULE 8812 (Form 1040)</t>
  </si>
  <si>
    <t xml:space="preserve">Credits for Qualifying Children and Other Dependents</t>
  </si>
  <si>
    <t xml:space="preserve">Part I</t>
  </si>
  <si>
    <t xml:space="preserve">Child Tax Credit and Credit for Other Dependents</t>
  </si>
  <si>
    <t xml:space="preserve">1</t>
  </si>
  <si>
    <t xml:space="preserve">Enter the amount from line 11 of your Form 1040, 1040-SR, or 1040-NR</t>
  </si>
  <si>
    <t xml:space="preserve">2a</t>
  </si>
  <si>
    <t xml:space="preserve">Enter income from Puerto Rico that you excluded</t>
  </si>
  <si>
    <t xml:space="preserve">2b</t>
  </si>
  <si>
    <t xml:space="preserve">Enter the amounts from lines 45 and 50 of your Form 2555</t>
  </si>
  <si>
    <t xml:space="preserve">2c</t>
  </si>
  <si>
    <t xml:space="preserve">Enter the amount from line 15 of your Form 4563</t>
  </si>
  <si>
    <t xml:space="preserve">2d</t>
  </si>
  <si>
    <t xml:space="preserve">Add lines 2a through 2c</t>
  </si>
  <si>
    <t xml:space="preserve">3</t>
  </si>
  <si>
    <t xml:space="preserve">Add lines 1 and 2d</t>
  </si>
  <si>
    <t xml:space="preserve">4</t>
  </si>
  <si>
    <t xml:space="preserve">Number of qualifying children under age 17 with the required social security number</t>
  </si>
  <si>
    <t xml:space="preserve">5</t>
  </si>
  <si>
    <t xml:space="preserve">Multiply line 4 by $2,200</t>
  </si>
  <si>
    <t xml:space="preserve">6</t>
  </si>
  <si>
    <t xml:space="preserve">Number of other dependents, including any qualifying children who are not under age 17 or who do not have the required social security number</t>
  </si>
  <si>
    <t xml:space="preserve">7</t>
  </si>
  <si>
    <t xml:space="preserve">Multiply line 6 by $500</t>
  </si>
  <si>
    <t xml:space="preserve">8</t>
  </si>
  <si>
    <t xml:space="preserve">Add lines 5 and 7</t>
  </si>
  <si>
    <t xml:space="preserve">9</t>
  </si>
  <si>
    <t xml:space="preserve">Enter the amount for your filing status:  Married filing jointly$400,000; All other filing statuses$200,000</t>
  </si>
  <si>
    <t xml:space="preserve">10</t>
  </si>
  <si>
    <t xml:space="preserve">Subtract line 9 from line 3. If zero or less, enter -0-. If more than zero and not a multiple of $1,000, enter the next multiple of $1,000</t>
  </si>
  <si>
    <t xml:space="preserve">11</t>
  </si>
  <si>
    <t xml:space="preserve">Multiply line 10 by 5% (0.05)</t>
  </si>
  <si>
    <t xml:space="preserve"> Is the amount on line 8 more than the amount on line 11?                                                                                                            </t>
  </si>
  <si>
    <t xml:space="preserve">No. STOP. You cannot take the child tax credit, credit for other dependents, or additional child tax credit. Skip Parts II-A and II-B.  Enter -0- on lines 14 and 27. </t>
  </si>
  <si>
    <t xml:space="preserve">12</t>
  </si>
  <si>
    <t xml:space="preserve">Yes. Subtract line 11 from line 8. Enter the result.</t>
  </si>
  <si>
    <t xml:space="preserve">13</t>
  </si>
  <si>
    <t xml:space="preserve">Enter the amount from the Credit Limit Worksheet A</t>
  </si>
  <si>
    <t xml:space="preserve">14</t>
  </si>
  <si>
    <t xml:space="preserve">Enter the smaller of line 12 or 13. This is your child tax credit and credit for other dependents</t>
  </si>
  <si>
    <t xml:space="preserve">Enter this amount on Form 1040, 1040-SR, or 1040-NR, line 19.</t>
  </si>
  <si>
    <t xml:space="preserve">If the amount on line 12 is more than the amount on line 14, you may be able to take the additional child tax credit on Form 1040, 1040-SR, or 1040-NR, line 28. Complete your Form 1040, 1040-SR, or 1040-NR through line 27 (also complete Schedule 3, line 11) before completing Part II-A.</t>
  </si>
  <si>
    <t xml:space="preserve">Page 2</t>
  </si>
  <si>
    <t xml:space="preserve">Part II-A</t>
  </si>
  <si>
    <t xml:space="preserve">Additional Child Tax Credit for All Filers</t>
  </si>
  <si>
    <t xml:space="preserve">Caution: If you file Form 2555, you cannot claim the additional child tax credit.</t>
  </si>
  <si>
    <t xml:space="preserve">15</t>
  </si>
  <si>
    <t xml:space="preserve">Reserved for future use</t>
  </si>
  <si>
    <t xml:space="preserve">16a</t>
  </si>
  <si>
    <t xml:space="preserve">Subtract line 14 from line 12. If zero, stop here; you cannot take the additional child tax credit. Skip Parts II-A and II-B. Enter -0- on line 27</t>
  </si>
  <si>
    <t xml:space="preserve">16b</t>
  </si>
  <si>
    <t xml:space="preserve">Number of qualifying children under 17 with the required social security number x $1,700:</t>
  </si>
  <si>
    <t xml:space="preserve">TIP: The number of children you use for this line is the same as the number of children you used for line 4.</t>
  </si>
  <si>
    <t xml:space="preserve">17</t>
  </si>
  <si>
    <t xml:space="preserve">Enter the smaller of line 16a or line 16b</t>
  </si>
  <si>
    <t xml:space="preserve">18a</t>
  </si>
  <si>
    <t xml:space="preserve">Earned income (see instructions)</t>
  </si>
  <si>
    <t xml:space="preserve">18b</t>
  </si>
  <si>
    <t xml:space="preserve">Nontaxable combat pay (see instructions)</t>
  </si>
  <si>
    <t xml:space="preserve">Is the amount on line 18a more than $2,500?</t>
  </si>
  <si>
    <t xml:space="preserve">No : Leave line 19 blank and enter -0- on line 20.</t>
  </si>
  <si>
    <t xml:space="preserve">19</t>
  </si>
  <si>
    <r>
      <rPr>
        <b val="true"/>
        <sz val="12"/>
        <color rgb="FF000000"/>
        <rFont val="Times New Roman"/>
        <family val="1"/>
        <charset val="1"/>
      </rPr>
      <t xml:space="preserve">YES: </t>
    </r>
    <r>
      <rPr>
        <sz val="12"/>
        <color rgb="FF000000"/>
        <rFont val="Times New Roman"/>
        <family val="2"/>
        <charset val="1"/>
      </rPr>
      <t xml:space="preserve">Subtract $2,500 from the amount on line 18a</t>
    </r>
  </si>
  <si>
    <t xml:space="preserve">20</t>
  </si>
  <si>
    <t xml:space="preserve">Multiply the amount on line 19 by 15% (0.15) and enter the result</t>
  </si>
  <si>
    <t xml:space="preserve">Next. On line 16b, is the amount $5,100 or more?</t>
  </si>
  <si>
    <t xml:space="preserve">No: If you are a bona fide resident of Puerto Rico, go to line 21. Otherwise, skip Part II-B and enter the smaller of line 17 or line 20 on line 27.</t>
  </si>
  <si>
    <t xml:space="preserve">Yes: If line 20 is equal to or more than line 17, skip Part II-B and enter the amount from line 17 on line 27. Otherwise, go to line 21.</t>
  </si>
  <si>
    <t xml:space="preserve">Part II-B</t>
  </si>
  <si>
    <t xml:space="preserve">Certain Filers Who Have Three or More Qualifying Children and Bona Fide Residents of Puerto Rico</t>
  </si>
  <si>
    <t xml:space="preserve">21</t>
  </si>
  <si>
    <t xml:space="preserve">Withheld social security, Medicare, and Additional Medicare taxes from Form(s) W-2, boxes 4 and 6. If married filing jointly, include your spouses amounts with yours. If your employer withheld or you paid Additional Medicare Tax or tier 1 RRTA taxes, see instructions</t>
  </si>
  <si>
    <t xml:space="preserve">22</t>
  </si>
  <si>
    <t xml:space="preserve">Enter the total of the amounts from Schedule 1 (Form 1040), line 15; Schedule 2 (Form 1040), line 5; Schedule 2 (Form 1040), line 6; and Schedule 2 (Form 1040), line 13</t>
  </si>
  <si>
    <t xml:space="preserve">23</t>
  </si>
  <si>
    <t xml:space="preserve">Add lines 21 and 22</t>
  </si>
  <si>
    <r>
      <rPr>
        <b val="true"/>
        <sz val="12"/>
        <color rgb="FF000000"/>
        <rFont val="Times New Roman"/>
        <family val="2"/>
        <charset val="1"/>
      </rPr>
      <t xml:space="preserve">1040 and 1040-SR filers</t>
    </r>
    <r>
      <rPr>
        <sz val="12"/>
        <color rgb="FF000000"/>
        <rFont val="Times New Roman"/>
        <family val="2"/>
        <charset val="1"/>
      </rPr>
      <t xml:space="preserve">:  Enter the total of the amounts from Form 1040 or 1040-SR, line 27, and Schedule 3 (Form 1040), line 11.</t>
    </r>
  </si>
  <si>
    <r>
      <rPr>
        <b val="true"/>
        <sz val="12"/>
        <color rgb="FF000000"/>
        <rFont val="Times New Roman"/>
        <family val="2"/>
        <charset val="1"/>
      </rPr>
      <t xml:space="preserve">1040-NR filers</t>
    </r>
    <r>
      <rPr>
        <sz val="12"/>
        <color rgb="FF000000"/>
        <rFont val="Times New Roman"/>
        <family val="2"/>
        <charset val="1"/>
      </rPr>
      <t xml:space="preserve">: Enter the amount from Schedule 3 (Form 1040), line 11.</t>
    </r>
  </si>
  <si>
    <t xml:space="preserve">24</t>
  </si>
  <si>
    <t xml:space="preserve">25</t>
  </si>
  <si>
    <t xml:space="preserve">Subtract line 24 from line 23. If zero or less, enter -0-</t>
  </si>
  <si>
    <t xml:space="preserve">26</t>
  </si>
  <si>
    <r>
      <rPr>
        <sz val="12"/>
        <color rgb="FF000000"/>
        <rFont val="Times New Roman"/>
        <family val="2"/>
        <charset val="1"/>
      </rPr>
      <t xml:space="preserve">Enter the </t>
    </r>
    <r>
      <rPr>
        <b val="true"/>
        <sz val="12"/>
        <color rgb="FF000000"/>
        <rFont val="Times New Roman"/>
        <family val="2"/>
        <charset val="1"/>
      </rPr>
      <t xml:space="preserve">larger</t>
    </r>
    <r>
      <rPr>
        <sz val="12"/>
        <color rgb="FF000000"/>
        <rFont val="Times New Roman"/>
        <family val="2"/>
        <charset val="1"/>
      </rPr>
      <t xml:space="preserve"> of line 20 or line 25</t>
    </r>
  </si>
  <si>
    <r>
      <rPr>
        <sz val="12"/>
        <color rgb="FF000000"/>
        <rFont val="Times New Roman"/>
        <family val="2"/>
        <charset val="1"/>
      </rPr>
      <t xml:space="preserve">Next, enter the </t>
    </r>
    <r>
      <rPr>
        <b val="true"/>
        <sz val="12"/>
        <color rgb="FF000000"/>
        <rFont val="Times New Roman"/>
        <family val="2"/>
        <charset val="1"/>
      </rPr>
      <t xml:space="preserve">smaller</t>
    </r>
    <r>
      <rPr>
        <sz val="12"/>
        <color rgb="FF000000"/>
        <rFont val="Times New Roman"/>
        <family val="2"/>
        <charset val="1"/>
      </rPr>
      <t xml:space="preserve"> of line 17 or line 26 on line 27.</t>
    </r>
  </si>
  <si>
    <t xml:space="preserve">Part II-C</t>
  </si>
  <si>
    <t xml:space="preserve">Additional Child Tax Credit</t>
  </si>
  <si>
    <t xml:space="preserve">27</t>
  </si>
  <si>
    <t xml:space="preserve">This is your additional child tax credit. Enter this amount on Form 1040, 1040-SR, or 1040-NR, line 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</si>
</sst>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8">
    <font>
      <sz val="12"/>
      <color rgb="FF000000"/>
      <name val="Times New Rom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b val="true"/>
      <sz val="12"/>
      <color rgb="FFFFFFFF"/>
      <name val="Times New Roman"/>
      <family val="1"/>
      <charset val="1"/>
    </font>
    <font>
      <b val="true"/>
      <sz val="12"/>
      <color rgb="FF000000"/>
      <name val="Times New Roman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EEBF7"/>
        <bgColor rgb="FFDDEBF7"/>
      </patternFill>
    </fill>
    <fill>
      <patternFill patternType="solid">
        <fgColor rgb="FFDDEBF7"/>
        <bgColor rgb="FFDEEBF7"/>
      </patternFill>
    </fill>
    <fill>
      <patternFill patternType="solid">
        <fgColor rgb="FFD9D9D9"/>
        <bgColor rgb="FFDDEBF7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6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0" fillId="5" borderId="5" xfId="17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5" xfId="17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4" xfId="17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6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2" xfId="17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49" colorId="64" zoomScale="148" zoomScaleNormal="148" zoomScalePageLayoutView="100" workbookViewId="0">
      <selection pane="topLeft" activeCell="A58" activeCellId="0" sqref="A58"/>
    </sheetView>
  </sheetViews>
  <sheetFormatPr defaultColWidth="8.51953125" defaultRowHeight="15.75" zeroHeight="false" outlineLevelRow="0" outlineLevelCol="0"/>
  <cols>
    <col collapsed="false" customWidth="true" hidden="false" outlineLevel="0" max="1" min="1" style="0" width="3.88"/>
    <col collapsed="false" customWidth="true" hidden="false" outlineLevel="0" max="6" min="6" style="0" width="45.38"/>
    <col collapsed="false" customWidth="true" hidden="false" outlineLevel="0" max="7" min="7" style="0" width="3.88"/>
    <col collapsed="false" customWidth="true" hidden="false" outlineLevel="0" max="9" min="9" style="0" width="3.88"/>
  </cols>
  <sheetData>
    <row r="1" customFormat="false" ht="20.2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6.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6.5" hidden="false" customHeight="fals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5.75" hidden="false" customHeight="fals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15.75" hidden="false" customHeight="false" outlineLevel="0" collapsed="false">
      <c r="A6" s="6" t="s">
        <v>4</v>
      </c>
      <c r="B6" s="7" t="s">
        <v>5</v>
      </c>
      <c r="C6" s="7"/>
      <c r="D6" s="7"/>
      <c r="E6" s="7"/>
      <c r="F6" s="7"/>
      <c r="G6" s="7"/>
      <c r="H6" s="7"/>
      <c r="I6" s="8" t="s">
        <v>4</v>
      </c>
      <c r="J6" s="9"/>
    </row>
    <row r="7" customFormat="false" ht="15.75" hidden="false" customHeight="false" outlineLevel="0" collapsed="false">
      <c r="A7" s="6" t="s">
        <v>6</v>
      </c>
      <c r="B7" s="7" t="s">
        <v>7</v>
      </c>
      <c r="C7" s="7"/>
      <c r="D7" s="7"/>
      <c r="E7" s="7"/>
      <c r="F7" s="7"/>
      <c r="G7" s="8" t="s">
        <v>6</v>
      </c>
      <c r="H7" s="10"/>
      <c r="I7" s="11"/>
      <c r="J7" s="12"/>
    </row>
    <row r="8" customFormat="false" ht="15.75" hidden="false" customHeight="false" outlineLevel="0" collapsed="false">
      <c r="A8" s="6" t="s">
        <v>8</v>
      </c>
      <c r="B8" s="7" t="s">
        <v>9</v>
      </c>
      <c r="C8" s="7"/>
      <c r="D8" s="7"/>
      <c r="E8" s="7"/>
      <c r="F8" s="7"/>
      <c r="G8" s="8" t="s">
        <v>8</v>
      </c>
      <c r="H8" s="10"/>
      <c r="I8" s="11"/>
      <c r="J8" s="12"/>
    </row>
    <row r="9" customFormat="false" ht="15.75" hidden="false" customHeight="false" outlineLevel="0" collapsed="false">
      <c r="A9" s="6" t="s">
        <v>10</v>
      </c>
      <c r="B9" s="7" t="s">
        <v>11</v>
      </c>
      <c r="C9" s="7"/>
      <c r="D9" s="7"/>
      <c r="E9" s="7"/>
      <c r="F9" s="7"/>
      <c r="G9" s="8" t="s">
        <v>10</v>
      </c>
      <c r="H9" s="10"/>
      <c r="I9" s="11"/>
      <c r="J9" s="12"/>
    </row>
    <row r="10" customFormat="false" ht="15.75" hidden="false" customHeight="false" outlineLevel="0" collapsed="false">
      <c r="A10" s="6" t="s">
        <v>12</v>
      </c>
      <c r="B10" s="7" t="s">
        <v>13</v>
      </c>
      <c r="C10" s="7"/>
      <c r="D10" s="7"/>
      <c r="E10" s="7"/>
      <c r="F10" s="7"/>
      <c r="G10" s="7"/>
      <c r="H10" s="7"/>
      <c r="I10" s="8" t="s">
        <v>12</v>
      </c>
      <c r="J10" s="9" t="n">
        <f aca="false">SUM(H7:H9)</f>
        <v>0</v>
      </c>
    </row>
    <row r="11" customFormat="false" ht="15.75" hidden="false" customHeight="false" outlineLevel="0" collapsed="false">
      <c r="A11" s="6" t="s">
        <v>14</v>
      </c>
      <c r="B11" s="7" t="s">
        <v>15</v>
      </c>
      <c r="C11" s="7"/>
      <c r="D11" s="7"/>
      <c r="E11" s="7"/>
      <c r="F11" s="7"/>
      <c r="G11" s="7"/>
      <c r="H11" s="7"/>
      <c r="I11" s="8" t="s">
        <v>14</v>
      </c>
      <c r="J11" s="9" t="n">
        <f aca="false">J6+J10</f>
        <v>0</v>
      </c>
    </row>
    <row r="12" customFormat="false" ht="15.75" hidden="false" customHeight="false" outlineLevel="0" collapsed="false">
      <c r="A12" s="6" t="s">
        <v>16</v>
      </c>
      <c r="B12" s="13" t="s">
        <v>17</v>
      </c>
      <c r="C12" s="13"/>
      <c r="D12" s="13"/>
      <c r="E12" s="13"/>
      <c r="F12" s="13"/>
      <c r="G12" s="8" t="s">
        <v>16</v>
      </c>
      <c r="H12" s="14"/>
      <c r="I12" s="11"/>
      <c r="J12" s="12"/>
    </row>
    <row r="13" customFormat="false" ht="15.75" hidden="false" customHeight="false" outlineLevel="0" collapsed="false">
      <c r="A13" s="6" t="s">
        <v>18</v>
      </c>
      <c r="B13" s="7" t="s">
        <v>19</v>
      </c>
      <c r="C13" s="7"/>
      <c r="D13" s="7"/>
      <c r="E13" s="7"/>
      <c r="F13" s="7"/>
      <c r="G13" s="7"/>
      <c r="H13" s="7"/>
      <c r="I13" s="8" t="s">
        <v>18</v>
      </c>
      <c r="J13" s="9" t="n">
        <f aca="false">2200*H12</f>
        <v>0</v>
      </c>
    </row>
    <row r="14" customFormat="false" ht="32.25" hidden="false" customHeight="true" outlineLevel="0" collapsed="false">
      <c r="A14" s="15" t="s">
        <v>20</v>
      </c>
      <c r="B14" s="16" t="s">
        <v>21</v>
      </c>
      <c r="C14" s="16"/>
      <c r="D14" s="16"/>
      <c r="E14" s="16"/>
      <c r="F14" s="16"/>
      <c r="G14" s="17" t="s">
        <v>20</v>
      </c>
      <c r="H14" s="18"/>
      <c r="I14" s="19"/>
      <c r="J14" s="20"/>
    </row>
    <row r="15" customFormat="false" ht="15.75" hidden="false" customHeight="false" outlineLevel="0" collapsed="false">
      <c r="A15" s="6" t="s">
        <v>22</v>
      </c>
      <c r="B15" s="7" t="s">
        <v>23</v>
      </c>
      <c r="C15" s="7"/>
      <c r="D15" s="7"/>
      <c r="E15" s="7"/>
      <c r="F15" s="7"/>
      <c r="G15" s="7"/>
      <c r="H15" s="7"/>
      <c r="I15" s="8" t="s">
        <v>22</v>
      </c>
      <c r="J15" s="9" t="n">
        <f aca="false">500*H14</f>
        <v>0</v>
      </c>
    </row>
    <row r="16" customFormat="false" ht="15.75" hidden="false" customHeight="false" outlineLevel="0" collapsed="false">
      <c r="A16" s="6" t="s">
        <v>24</v>
      </c>
      <c r="B16" s="7" t="s">
        <v>25</v>
      </c>
      <c r="C16" s="7"/>
      <c r="D16" s="7"/>
      <c r="E16" s="7"/>
      <c r="F16" s="7"/>
      <c r="G16" s="7"/>
      <c r="H16" s="7"/>
      <c r="I16" s="8" t="s">
        <v>24</v>
      </c>
      <c r="J16" s="9" t="n">
        <f aca="false">J13+J15</f>
        <v>0</v>
      </c>
    </row>
    <row r="17" customFormat="false" ht="15.75" hidden="false" customHeight="false" outlineLevel="0" collapsed="false">
      <c r="A17" s="6" t="s">
        <v>26</v>
      </c>
      <c r="B17" s="7" t="s">
        <v>27</v>
      </c>
      <c r="C17" s="7"/>
      <c r="D17" s="7"/>
      <c r="E17" s="7"/>
      <c r="F17" s="7"/>
      <c r="G17" s="7"/>
      <c r="H17" s="7"/>
      <c r="I17" s="8" t="s">
        <v>26</v>
      </c>
      <c r="J17" s="9"/>
    </row>
    <row r="18" customFormat="false" ht="15.75" hidden="false" customHeight="true" outlineLevel="0" collapsed="false">
      <c r="A18" s="6" t="s">
        <v>28</v>
      </c>
      <c r="B18" s="21" t="s">
        <v>29</v>
      </c>
      <c r="C18" s="21"/>
      <c r="D18" s="21"/>
      <c r="E18" s="21"/>
      <c r="F18" s="21"/>
      <c r="G18" s="21"/>
      <c r="H18" s="21"/>
      <c r="I18" s="8" t="s">
        <v>28</v>
      </c>
      <c r="J18" s="9" t="n">
        <f aca="false">ROUNDUP(MAX(J11-J17,0),-3)</f>
        <v>0</v>
      </c>
    </row>
    <row r="19" customFormat="false" ht="15.75" hidden="false" customHeight="false" outlineLevel="0" collapsed="false">
      <c r="A19" s="6" t="s">
        <v>30</v>
      </c>
      <c r="B19" s="7" t="s">
        <v>31</v>
      </c>
      <c r="C19" s="7"/>
      <c r="D19" s="7"/>
      <c r="E19" s="7"/>
      <c r="F19" s="7"/>
      <c r="G19" s="7"/>
      <c r="H19" s="7"/>
      <c r="I19" s="8" t="s">
        <v>30</v>
      </c>
      <c r="J19" s="9" t="n">
        <f aca="false">ROUND(J18*0.05,2)</f>
        <v>0</v>
      </c>
    </row>
    <row r="20" customFormat="false" ht="15.75" hidden="false" customHeight="false" outlineLevel="0" collapsed="false">
      <c r="A20" s="22" t="s">
        <v>32</v>
      </c>
      <c r="B20" s="22"/>
      <c r="C20" s="22"/>
      <c r="D20" s="22"/>
      <c r="E20" s="22"/>
      <c r="F20" s="22"/>
      <c r="G20" s="22"/>
      <c r="H20" s="22"/>
      <c r="I20" s="22"/>
      <c r="J20" s="22"/>
    </row>
    <row r="21" customFormat="false" ht="32.25" hidden="false" customHeight="true" outlineLevel="0" collapsed="false">
      <c r="A21" s="23" t="s">
        <v>33</v>
      </c>
      <c r="B21" s="23"/>
      <c r="C21" s="23"/>
      <c r="D21" s="23"/>
      <c r="E21" s="23"/>
      <c r="F21" s="23"/>
      <c r="G21" s="23"/>
      <c r="H21" s="23"/>
      <c r="I21" s="23"/>
      <c r="J21" s="23"/>
    </row>
    <row r="22" customFormat="false" ht="15.75" hidden="false" customHeight="false" outlineLevel="0" collapsed="false">
      <c r="A22" s="6" t="s">
        <v>34</v>
      </c>
      <c r="B22" s="7" t="s">
        <v>35</v>
      </c>
      <c r="C22" s="7"/>
      <c r="D22" s="7"/>
      <c r="E22" s="7"/>
      <c r="F22" s="7"/>
      <c r="G22" s="7"/>
      <c r="H22" s="7"/>
      <c r="I22" s="8" t="s">
        <v>34</v>
      </c>
      <c r="J22" s="9" t="n">
        <f aca="false">MAX(J16-J19,0)</f>
        <v>0</v>
      </c>
    </row>
    <row r="23" customFormat="false" ht="15.75" hidden="false" customHeight="false" outlineLevel="0" collapsed="false">
      <c r="A23" s="6" t="s">
        <v>36</v>
      </c>
      <c r="B23" s="7" t="s">
        <v>37</v>
      </c>
      <c r="C23" s="7"/>
      <c r="D23" s="7"/>
      <c r="E23" s="7"/>
      <c r="F23" s="7"/>
      <c r="G23" s="7"/>
      <c r="H23" s="7"/>
      <c r="I23" s="8" t="s">
        <v>36</v>
      </c>
      <c r="J23" s="9"/>
    </row>
    <row r="24" customFormat="false" ht="15.75" hidden="false" customHeight="false" outlineLevel="0" collapsed="false">
      <c r="A24" s="6" t="s">
        <v>38</v>
      </c>
      <c r="B24" s="7" t="s">
        <v>39</v>
      </c>
      <c r="C24" s="7"/>
      <c r="D24" s="7"/>
      <c r="E24" s="7"/>
      <c r="F24" s="7"/>
      <c r="G24" s="7"/>
      <c r="H24" s="7"/>
      <c r="I24" s="8" t="s">
        <v>38</v>
      </c>
      <c r="J24" s="9" t="n">
        <f aca="false">MIN(J22:J23)</f>
        <v>0</v>
      </c>
    </row>
    <row r="25" customFormat="false" ht="15.75" hidden="false" customHeight="false" outlineLevel="0" collapsed="false">
      <c r="A25" s="22" t="s">
        <v>40</v>
      </c>
      <c r="B25" s="22"/>
      <c r="C25" s="22"/>
      <c r="D25" s="22"/>
      <c r="E25" s="22"/>
      <c r="F25" s="22"/>
      <c r="G25" s="22"/>
      <c r="H25" s="22"/>
      <c r="I25" s="22"/>
      <c r="J25" s="22"/>
    </row>
    <row r="26" customFormat="false" ht="53.25" hidden="false" customHeight="true" outlineLevel="0" collapsed="false">
      <c r="A26" s="24" t="s">
        <v>41</v>
      </c>
      <c r="B26" s="24"/>
      <c r="C26" s="24"/>
      <c r="D26" s="24"/>
      <c r="E26" s="24"/>
      <c r="F26" s="24"/>
      <c r="G26" s="24"/>
      <c r="H26" s="24"/>
      <c r="I26" s="24"/>
      <c r="J26" s="24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customFormat="false" ht="15.75" hidden="false" customHeight="false" outlineLevel="0" collapsed="false">
      <c r="A28" s="25" t="s">
        <v>42</v>
      </c>
      <c r="B28" s="25"/>
      <c r="C28" s="25"/>
      <c r="D28" s="25"/>
      <c r="E28" s="25"/>
      <c r="F28" s="25"/>
      <c r="G28" s="25"/>
      <c r="H28" s="25"/>
      <c r="I28" s="25"/>
      <c r="J28" s="25"/>
    </row>
    <row r="29" customFormat="false" ht="16.5" hidden="false" customHeight="false" outlineLevel="0" collapsed="false"/>
    <row r="30" customFormat="false" ht="16.5" hidden="false" customHeight="false" outlineLevel="0" collapsed="false">
      <c r="A30" s="4" t="s">
        <v>43</v>
      </c>
      <c r="B30" s="4"/>
      <c r="C30" s="4"/>
      <c r="D30" s="4"/>
      <c r="E30" s="4"/>
      <c r="F30" s="4"/>
      <c r="G30" s="4"/>
      <c r="H30" s="4"/>
      <c r="I30" s="4"/>
      <c r="J30" s="4"/>
    </row>
    <row r="31" customFormat="false" ht="15.75" hidden="false" customHeight="false" outlineLevel="0" collapsed="false">
      <c r="A31" s="5" t="s">
        <v>44</v>
      </c>
      <c r="B31" s="5"/>
      <c r="C31" s="5"/>
      <c r="D31" s="5"/>
      <c r="E31" s="5"/>
      <c r="F31" s="5"/>
      <c r="G31" s="5"/>
      <c r="H31" s="5"/>
      <c r="I31" s="5"/>
      <c r="J31" s="5"/>
    </row>
    <row r="32" customFormat="false" ht="15.75" hidden="false" customHeight="true" outlineLevel="0" collapsed="false">
      <c r="A32" s="26" t="s">
        <v>45</v>
      </c>
      <c r="B32" s="26"/>
      <c r="C32" s="26"/>
      <c r="D32" s="26"/>
      <c r="E32" s="26"/>
      <c r="F32" s="26"/>
      <c r="G32" s="26"/>
      <c r="H32" s="26"/>
      <c r="I32" s="26"/>
      <c r="J32" s="26"/>
    </row>
    <row r="33" customFormat="false" ht="15.05" hidden="false" customHeight="true" outlineLevel="0" collapsed="false">
      <c r="A33" s="27" t="s">
        <v>46</v>
      </c>
      <c r="B33" s="16" t="s">
        <v>47</v>
      </c>
      <c r="C33" s="16"/>
      <c r="D33" s="16"/>
      <c r="E33" s="16"/>
      <c r="F33" s="16"/>
      <c r="G33" s="16"/>
      <c r="H33" s="16"/>
      <c r="I33" s="28" t="s">
        <v>46</v>
      </c>
      <c r="J33" s="29"/>
    </row>
    <row r="34" customFormat="false" ht="32.25" hidden="false" customHeight="true" outlineLevel="0" collapsed="false">
      <c r="A34" s="27" t="s">
        <v>48</v>
      </c>
      <c r="B34" s="16" t="s">
        <v>49</v>
      </c>
      <c r="C34" s="16"/>
      <c r="D34" s="16"/>
      <c r="E34" s="16"/>
      <c r="F34" s="16"/>
      <c r="G34" s="16"/>
      <c r="H34" s="16"/>
      <c r="I34" s="28" t="s">
        <v>48</v>
      </c>
      <c r="J34" s="30" t="n">
        <f aca="false">MAX(J22-J24,0)</f>
        <v>0</v>
      </c>
    </row>
    <row r="35" customFormat="false" ht="15.75" hidden="false" customHeight="true" outlineLevel="0" collapsed="false">
      <c r="A35" s="27" t="s">
        <v>50</v>
      </c>
      <c r="B35" s="16" t="s">
        <v>51</v>
      </c>
      <c r="C35" s="16"/>
      <c r="D35" s="16"/>
      <c r="E35" s="16"/>
      <c r="F35" s="16"/>
      <c r="G35" s="28" t="s">
        <v>50</v>
      </c>
      <c r="H35" s="31" t="n">
        <f aca="false">1700*H12</f>
        <v>0</v>
      </c>
      <c r="I35" s="32"/>
      <c r="J35" s="33"/>
    </row>
    <row r="36" customFormat="false" ht="15.75" hidden="false" customHeight="true" outlineLevel="0" collapsed="false">
      <c r="A36" s="26" t="s">
        <v>52</v>
      </c>
      <c r="B36" s="26"/>
      <c r="C36" s="26"/>
      <c r="D36" s="26"/>
      <c r="E36" s="26"/>
      <c r="F36" s="26"/>
      <c r="G36" s="26"/>
      <c r="H36" s="26"/>
      <c r="I36" s="26"/>
      <c r="J36" s="26"/>
    </row>
    <row r="37" customFormat="false" ht="15.75" hidden="false" customHeight="true" outlineLevel="0" collapsed="false">
      <c r="A37" s="27" t="s">
        <v>53</v>
      </c>
      <c r="B37" s="16" t="s">
        <v>54</v>
      </c>
      <c r="C37" s="16"/>
      <c r="D37" s="16"/>
      <c r="E37" s="16"/>
      <c r="F37" s="16"/>
      <c r="G37" s="16"/>
      <c r="H37" s="16"/>
      <c r="I37" s="28" t="s">
        <v>53</v>
      </c>
      <c r="J37" s="30" t="n">
        <f aca="false">MIN(J34,H35)</f>
        <v>0</v>
      </c>
    </row>
    <row r="38" customFormat="false" ht="15.75" hidden="false" customHeight="true" outlineLevel="0" collapsed="false">
      <c r="A38" s="27" t="s">
        <v>55</v>
      </c>
      <c r="B38" s="16" t="s">
        <v>56</v>
      </c>
      <c r="C38" s="16"/>
      <c r="D38" s="16"/>
      <c r="E38" s="16"/>
      <c r="F38" s="16"/>
      <c r="G38" s="28" t="s">
        <v>55</v>
      </c>
      <c r="H38" s="31"/>
      <c r="I38" s="32"/>
      <c r="J38" s="33"/>
    </row>
    <row r="39" customFormat="false" ht="15.75" hidden="false" customHeight="true" outlineLevel="0" collapsed="false">
      <c r="A39" s="27" t="s">
        <v>57</v>
      </c>
      <c r="B39" s="16" t="s">
        <v>58</v>
      </c>
      <c r="C39" s="16"/>
      <c r="D39" s="16"/>
      <c r="E39" s="16"/>
      <c r="F39" s="16"/>
      <c r="G39" s="28" t="s">
        <v>57</v>
      </c>
      <c r="H39" s="31"/>
      <c r="I39" s="32"/>
      <c r="J39" s="33"/>
    </row>
    <row r="40" customFormat="false" ht="15.75" hidden="false" customHeight="true" outlineLevel="0" collapsed="false">
      <c r="A40" s="26" t="s">
        <v>59</v>
      </c>
      <c r="B40" s="26"/>
      <c r="C40" s="26"/>
      <c r="D40" s="26"/>
      <c r="E40" s="26"/>
      <c r="F40" s="26"/>
      <c r="G40" s="26"/>
      <c r="H40" s="26"/>
      <c r="I40" s="26"/>
      <c r="J40" s="26"/>
    </row>
    <row r="41" customFormat="false" ht="15.75" hidden="false" customHeight="true" outlineLevel="0" collapsed="false">
      <c r="A41" s="26" t="s">
        <v>60</v>
      </c>
      <c r="B41" s="26"/>
      <c r="C41" s="26"/>
      <c r="D41" s="26"/>
      <c r="E41" s="26"/>
      <c r="F41" s="26"/>
      <c r="G41" s="26"/>
      <c r="H41" s="26"/>
      <c r="I41" s="26"/>
      <c r="J41" s="26"/>
    </row>
    <row r="42" customFormat="false" ht="15.75" hidden="false" customHeight="true" outlineLevel="0" collapsed="false">
      <c r="A42" s="27" t="s">
        <v>61</v>
      </c>
      <c r="B42" s="34" t="s">
        <v>62</v>
      </c>
      <c r="C42" s="34"/>
      <c r="D42" s="34"/>
      <c r="E42" s="34"/>
      <c r="F42" s="34"/>
      <c r="G42" s="28" t="s">
        <v>61</v>
      </c>
      <c r="H42" s="31" t="n">
        <f aca="false">MAX(H38-2500,0)</f>
        <v>0</v>
      </c>
      <c r="I42" s="32"/>
      <c r="J42" s="33"/>
    </row>
    <row r="43" customFormat="false" ht="15.75" hidden="false" customHeight="true" outlineLevel="0" collapsed="false">
      <c r="A43" s="27" t="s">
        <v>63</v>
      </c>
      <c r="B43" s="16" t="s">
        <v>64</v>
      </c>
      <c r="C43" s="16"/>
      <c r="D43" s="16"/>
      <c r="E43" s="16"/>
      <c r="F43" s="16"/>
      <c r="G43" s="16"/>
      <c r="H43" s="16"/>
      <c r="I43" s="28" t="s">
        <v>63</v>
      </c>
      <c r="J43" s="30" t="n">
        <f aca="false">ROUND(0.15*H42,2)</f>
        <v>0</v>
      </c>
    </row>
    <row r="44" customFormat="false" ht="15.75" hidden="false" customHeight="true" outlineLevel="0" collapsed="false">
      <c r="A44" s="26" t="s">
        <v>65</v>
      </c>
      <c r="B44" s="26"/>
      <c r="C44" s="26"/>
      <c r="D44" s="26"/>
      <c r="E44" s="26"/>
      <c r="F44" s="26"/>
      <c r="G44" s="26"/>
      <c r="H44" s="26"/>
      <c r="I44" s="26"/>
      <c r="J44" s="26"/>
    </row>
    <row r="45" customFormat="false" ht="33" hidden="false" customHeight="true" outlineLevel="0" collapsed="false">
      <c r="A45" s="26" t="s">
        <v>66</v>
      </c>
      <c r="B45" s="26"/>
      <c r="C45" s="26"/>
      <c r="D45" s="26"/>
      <c r="E45" s="26"/>
      <c r="F45" s="26"/>
      <c r="G45" s="26"/>
      <c r="H45" s="26"/>
      <c r="I45" s="26"/>
      <c r="J45" s="26"/>
    </row>
    <row r="46" customFormat="false" ht="16.5" hidden="false" customHeight="true" outlineLevel="0" collapsed="false">
      <c r="A46" s="35" t="s">
        <v>67</v>
      </c>
      <c r="B46" s="35"/>
      <c r="C46" s="35"/>
      <c r="D46" s="35"/>
      <c r="E46" s="35"/>
      <c r="F46" s="35"/>
      <c r="G46" s="35"/>
      <c r="H46" s="35"/>
      <c r="I46" s="35"/>
      <c r="J46" s="35"/>
    </row>
    <row r="47" customFormat="false" ht="16.5" hidden="false" customHeight="false" outlineLevel="0" collapsed="false"/>
    <row r="48" customFormat="false" ht="16.5" hidden="false" customHeight="false" outlineLevel="0" collapsed="false">
      <c r="A48" s="36" t="s">
        <v>68</v>
      </c>
      <c r="B48" s="36"/>
      <c r="C48" s="36"/>
      <c r="D48" s="36"/>
      <c r="E48" s="36"/>
      <c r="F48" s="36"/>
      <c r="G48" s="36"/>
      <c r="H48" s="36"/>
      <c r="I48" s="36"/>
      <c r="J48" s="36"/>
    </row>
    <row r="49" customFormat="false" ht="15.75" hidden="false" customHeight="false" outlineLevel="0" collapsed="false">
      <c r="A49" s="5" t="s">
        <v>69</v>
      </c>
      <c r="B49" s="5"/>
      <c r="C49" s="5"/>
      <c r="D49" s="5"/>
      <c r="E49" s="5"/>
      <c r="F49" s="5"/>
      <c r="G49" s="5"/>
      <c r="H49" s="5"/>
      <c r="I49" s="5"/>
      <c r="J49" s="5"/>
    </row>
    <row r="50" customFormat="false" ht="48.75" hidden="false" customHeight="true" outlineLevel="0" collapsed="false">
      <c r="A50" s="27" t="s">
        <v>70</v>
      </c>
      <c r="B50" s="16" t="s">
        <v>71</v>
      </c>
      <c r="C50" s="16"/>
      <c r="D50" s="16"/>
      <c r="E50" s="16"/>
      <c r="F50" s="16"/>
      <c r="G50" s="16"/>
      <c r="H50" s="16"/>
      <c r="I50" s="28" t="s">
        <v>70</v>
      </c>
      <c r="J50" s="30"/>
    </row>
    <row r="51" customFormat="false" ht="32.25" hidden="false" customHeight="true" outlineLevel="0" collapsed="false">
      <c r="A51" s="27" t="s">
        <v>72</v>
      </c>
      <c r="B51" s="16" t="s">
        <v>73</v>
      </c>
      <c r="C51" s="16"/>
      <c r="D51" s="16"/>
      <c r="E51" s="16"/>
      <c r="F51" s="16"/>
      <c r="G51" s="16"/>
      <c r="H51" s="16"/>
      <c r="I51" s="28" t="s">
        <v>72</v>
      </c>
      <c r="J51" s="30"/>
    </row>
    <row r="52" customFormat="false" ht="15.75" hidden="false" customHeight="true" outlineLevel="0" collapsed="false">
      <c r="A52" s="27" t="s">
        <v>74</v>
      </c>
      <c r="B52" s="16" t="s">
        <v>75</v>
      </c>
      <c r="C52" s="16"/>
      <c r="D52" s="16"/>
      <c r="E52" s="16"/>
      <c r="F52" s="16"/>
      <c r="G52" s="16"/>
      <c r="H52" s="16"/>
      <c r="I52" s="28" t="s">
        <v>74</v>
      </c>
      <c r="J52" s="30" t="n">
        <f aca="false">J51+J50</f>
        <v>0</v>
      </c>
    </row>
    <row r="53" customFormat="false" ht="28.45" hidden="false" customHeight="true" outlineLevel="0" collapsed="false">
      <c r="A53" s="37" t="s">
        <v>76</v>
      </c>
      <c r="B53" s="37"/>
      <c r="C53" s="37"/>
      <c r="D53" s="37"/>
      <c r="E53" s="37"/>
      <c r="F53" s="37"/>
      <c r="G53" s="37"/>
      <c r="H53" s="37"/>
      <c r="I53" s="37"/>
      <c r="J53" s="37"/>
    </row>
    <row r="54" customFormat="false" ht="15.05" hidden="false" customHeight="true" outlineLevel="0" collapsed="false">
      <c r="A54" s="37" t="s">
        <v>77</v>
      </c>
      <c r="B54" s="37"/>
      <c r="C54" s="37"/>
      <c r="D54" s="37"/>
      <c r="E54" s="37"/>
      <c r="F54" s="37"/>
      <c r="G54" s="37"/>
      <c r="H54" s="37"/>
      <c r="I54" s="37"/>
      <c r="J54" s="37"/>
    </row>
    <row r="55" customFormat="false" ht="15.75" hidden="false" customHeight="false" outlineLevel="0" collapsed="false">
      <c r="A55" s="27" t="s">
        <v>78</v>
      </c>
      <c r="B55" s="16"/>
      <c r="C55" s="16"/>
      <c r="D55" s="16"/>
      <c r="E55" s="16"/>
      <c r="F55" s="16"/>
      <c r="G55" s="28" t="s">
        <v>78</v>
      </c>
      <c r="H55" s="31"/>
      <c r="I55" s="32"/>
      <c r="J55" s="33"/>
    </row>
    <row r="56" customFormat="false" ht="15.75" hidden="false" customHeight="true" outlineLevel="0" collapsed="false">
      <c r="A56" s="27" t="s">
        <v>79</v>
      </c>
      <c r="B56" s="16" t="s">
        <v>80</v>
      </c>
      <c r="C56" s="16"/>
      <c r="D56" s="16"/>
      <c r="E56" s="16"/>
      <c r="F56" s="16"/>
      <c r="G56" s="16"/>
      <c r="H56" s="16"/>
      <c r="I56" s="28" t="s">
        <v>79</v>
      </c>
      <c r="J56" s="30" t="n">
        <f aca="false">MAX(J52-H55,0)</f>
        <v>0</v>
      </c>
    </row>
    <row r="57" customFormat="false" ht="15.05" hidden="false" customHeight="true" outlineLevel="0" collapsed="false">
      <c r="A57" s="27" t="s">
        <v>81</v>
      </c>
      <c r="B57" s="16" t="s">
        <v>82</v>
      </c>
      <c r="C57" s="16"/>
      <c r="D57" s="16"/>
      <c r="E57" s="16"/>
      <c r="F57" s="16"/>
      <c r="G57" s="16"/>
      <c r="H57" s="16"/>
      <c r="I57" s="28" t="s">
        <v>81</v>
      </c>
      <c r="J57" s="30" t="n">
        <f aca="false">MAX(J43,J56)</f>
        <v>0</v>
      </c>
    </row>
    <row r="58" customFormat="false" ht="15.05" hidden="false" customHeight="true" outlineLevel="0" collapsed="false">
      <c r="A58" s="35" t="s">
        <v>83</v>
      </c>
      <c r="B58" s="35"/>
      <c r="C58" s="35"/>
      <c r="D58" s="35"/>
      <c r="E58" s="35"/>
      <c r="F58" s="35"/>
      <c r="G58" s="35"/>
      <c r="H58" s="35"/>
      <c r="I58" s="35"/>
      <c r="J58" s="35"/>
    </row>
    <row r="60" customFormat="false" ht="16.5" hidden="false" customHeight="false" outlineLevel="0" collapsed="false"/>
    <row r="61" customFormat="false" ht="16.5" hidden="false" customHeight="false" outlineLevel="0" collapsed="false">
      <c r="A61" s="36" t="s">
        <v>84</v>
      </c>
      <c r="B61" s="36"/>
      <c r="C61" s="36"/>
      <c r="D61" s="36"/>
      <c r="E61" s="36"/>
      <c r="F61" s="36"/>
      <c r="G61" s="36"/>
      <c r="H61" s="36"/>
      <c r="I61" s="36"/>
      <c r="J61" s="36"/>
    </row>
    <row r="62" customFormat="false" ht="15.75" hidden="false" customHeight="false" outlineLevel="0" collapsed="false">
      <c r="A62" s="5" t="s">
        <v>85</v>
      </c>
      <c r="B62" s="5"/>
      <c r="C62" s="5"/>
      <c r="D62" s="5"/>
      <c r="E62" s="5"/>
      <c r="F62" s="5"/>
      <c r="G62" s="5"/>
      <c r="H62" s="5"/>
      <c r="I62" s="5"/>
      <c r="J62" s="5"/>
    </row>
    <row r="63" customFormat="false" ht="16.5" hidden="false" customHeight="false" outlineLevel="0" collapsed="false">
      <c r="A63" s="38" t="s">
        <v>86</v>
      </c>
      <c r="B63" s="39" t="s">
        <v>87</v>
      </c>
      <c r="C63" s="39"/>
      <c r="D63" s="39"/>
      <c r="E63" s="39"/>
      <c r="F63" s="39"/>
      <c r="G63" s="39"/>
      <c r="H63" s="39"/>
      <c r="I63" s="40" t="s">
        <v>86</v>
      </c>
      <c r="J63" s="41" t="n">
        <f aca="false">MAX(J37,J57)</f>
        <v>0</v>
      </c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</row>
  </sheetData>
  <mergeCells count="60">
    <mergeCell ref="A1:J1"/>
    <mergeCell ref="A2:J2"/>
    <mergeCell ref="A3:J3"/>
    <mergeCell ref="A4:J4"/>
    <mergeCell ref="A5:J5"/>
    <mergeCell ref="B6:H6"/>
    <mergeCell ref="B7:F7"/>
    <mergeCell ref="B8:F8"/>
    <mergeCell ref="B9:F9"/>
    <mergeCell ref="B10:H10"/>
    <mergeCell ref="B11:H11"/>
    <mergeCell ref="B12:F12"/>
    <mergeCell ref="B13:H13"/>
    <mergeCell ref="B14:F14"/>
    <mergeCell ref="B15:H15"/>
    <mergeCell ref="B16:H16"/>
    <mergeCell ref="B17:H17"/>
    <mergeCell ref="B18:H18"/>
    <mergeCell ref="B19:H19"/>
    <mergeCell ref="A20:J20"/>
    <mergeCell ref="A21:J21"/>
    <mergeCell ref="B22:H22"/>
    <mergeCell ref="B23:H23"/>
    <mergeCell ref="B24:H24"/>
    <mergeCell ref="A25:J25"/>
    <mergeCell ref="A26:J26"/>
    <mergeCell ref="A27:J27"/>
    <mergeCell ref="A28:J28"/>
    <mergeCell ref="A30:J30"/>
    <mergeCell ref="A31:J31"/>
    <mergeCell ref="A32:J32"/>
    <mergeCell ref="B33:H33"/>
    <mergeCell ref="B34:H34"/>
    <mergeCell ref="B35:F35"/>
    <mergeCell ref="A36:J36"/>
    <mergeCell ref="B37:H37"/>
    <mergeCell ref="B38:F38"/>
    <mergeCell ref="B39:F39"/>
    <mergeCell ref="A40:J40"/>
    <mergeCell ref="A41:J41"/>
    <mergeCell ref="B42:F42"/>
    <mergeCell ref="B43:H43"/>
    <mergeCell ref="A44:J44"/>
    <mergeCell ref="A45:J45"/>
    <mergeCell ref="A46:J46"/>
    <mergeCell ref="A48:J48"/>
    <mergeCell ref="A49:J49"/>
    <mergeCell ref="B50:H50"/>
    <mergeCell ref="B51:H51"/>
    <mergeCell ref="B52:H52"/>
    <mergeCell ref="A53:J53"/>
    <mergeCell ref="A54:J54"/>
    <mergeCell ref="B55:F55"/>
    <mergeCell ref="B56:H56"/>
    <mergeCell ref="B57:H57"/>
    <mergeCell ref="A58:J58"/>
    <mergeCell ref="A61:J61"/>
    <mergeCell ref="A62:J62"/>
    <mergeCell ref="B63:H63"/>
    <mergeCell ref="A64:J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2023-01-07T19:46:46Z</dcterms:created>
  <dc:creator>JCC</dc:creator>
  <dc:description/>
  <dc:language>en-US</dc:language>
  <cp:lastModifiedBy/>
  <dcterms:modified xsi:type="dcterms:W3CDTF">2026-03-13T15:38:17Z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