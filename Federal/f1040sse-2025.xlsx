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<sst xmlns="http://schemas.openxmlformats.org/spreadsheetml/2006/main" count="88" uniqueCount="64">
  <si>
    <t xml:space="preserve">2022    Schedule SE    Self-Employment Tax</t>
  </si>
  <si>
    <t xml:space="preserve">Part I    Self-Employment Tax</t>
  </si>
  <si>
    <t xml:space="preserve">Note: If your only income subject to self-employment tax is church employee income, see instructions for how to report your income and the definition of church employee income.</t>
  </si>
  <si>
    <t xml:space="preserve">A</t>
  </si>
  <si>
    <t xml:space="preserve">If you are a minister, member of a religious order, or Christian Science practitioner and you filed Form 4361, but you had $400 or more of other net earnings from self-employment, check here and continue with Part I</t>
  </si>
  <si>
    <t xml:space="preserve">Skip lines 1a and 1b if you use the farm optional method in Part II. See instructions.</t>
  </si>
  <si>
    <t xml:space="preserve">1a</t>
  </si>
  <si>
    <t xml:space="preserve">Net farm profit or (loss) from Schedule F, line 34, and farm partnerships, Schedule K-1 (Form 1065), box 14, code A</t>
  </si>
  <si>
    <t xml:space="preserve">1b</t>
  </si>
  <si>
    <t xml:space="preserve">If you received social security retirement or disability benefits, enter the amount of Conservation Reserve Program payments included on Schedule F, line 4b, or listed on Schedule K-1 (Form 1065), box 20, code AH</t>
  </si>
  <si>
    <t xml:space="preserve">Skip line 2 if you use the nonfarm optional method in Part II. See instructions.</t>
  </si>
  <si>
    <t xml:space="preserve">2</t>
  </si>
  <si>
    <t xml:space="preserve">Net profit or (loss) from Schedule C, line 31; and Schedule K-1 (Form 1065), box 14, code A (other than farming).</t>
  </si>
  <si>
    <t xml:space="preserve">3</t>
  </si>
  <si>
    <t xml:space="preserve">Combine lines 1a, 1b, and 2</t>
  </si>
  <si>
    <t xml:space="preserve">4a</t>
  </si>
  <si>
    <t xml:space="preserve">If line 3 is more than zero, multiply line 3 by 92.35% (0.9235). Otherwise, enter amount from line 3 .</t>
  </si>
  <si>
    <t xml:space="preserve">Note: If line 4a is less than $400 due to Conservation Reserve Program payments on line 1b, see instructions.</t>
  </si>
  <si>
    <t xml:space="preserve">4b</t>
  </si>
  <si>
    <t xml:space="preserve">If you elect one or both of the optional methods, enter the total of lines 15 and 17 here</t>
  </si>
  <si>
    <t xml:space="preserve">4c</t>
  </si>
  <si>
    <t xml:space="preserve">Combine lines 4a and 4b. If less than $400, stop; you don’t owe self-employment tax.</t>
  </si>
  <si>
    <t xml:space="preserve">Exception: If less than $400 and you had church employee income, enter -0- and continue.</t>
  </si>
  <si>
    <t xml:space="preserve">5a</t>
  </si>
  <si>
    <t xml:space="preserve">Enter your church employee income from Form W-2. See instructions for definition of church employee income</t>
  </si>
  <si>
    <t xml:space="preserve">5b</t>
  </si>
  <si>
    <t xml:space="preserve">Multiply line 5a by 92.35% (0.9235). If less than $100, enter -0-</t>
  </si>
  <si>
    <t xml:space="preserve">6</t>
  </si>
  <si>
    <t xml:space="preserve">Add lines 4c and 5b</t>
  </si>
  <si>
    <t xml:space="preserve">7</t>
  </si>
  <si>
    <t xml:space="preserve">Maximum amount of combined wages and self-employment earnings subject to social security tax</t>
  </si>
  <si>
    <t xml:space="preserve">or the 6.2% portion of the 7.65% railroad retirement (tier 1) tax for 2020</t>
  </si>
  <si>
    <t xml:space="preserve">8a</t>
  </si>
  <si>
    <t xml:space="preserve">Total social security wages and tips (total of boxes 3 and 7 on Form(s) W-2) and railroad retirement (tier 1) compensation. If $147,000 or more, skip lines 8b through 10, and go to line 11</t>
  </si>
  <si>
    <t xml:space="preserve">8b</t>
  </si>
  <si>
    <t xml:space="preserve">Unreported tips subject to social security tax from Form 4137, line 10</t>
  </si>
  <si>
    <t xml:space="preserve">8c</t>
  </si>
  <si>
    <t xml:space="preserve">Wages subject to social security tax from Form 8919, line 10</t>
  </si>
  <si>
    <t xml:space="preserve">8d</t>
  </si>
  <si>
    <t xml:space="preserve">Add lines 8a, 8b, and 8c</t>
  </si>
  <si>
    <t xml:space="preserve">9</t>
  </si>
  <si>
    <t xml:space="preserve">Subtract line 8d from line 7. If zero or less, enter -0- here and on line 10 and go to line 11</t>
  </si>
  <si>
    <t xml:space="preserve">10</t>
  </si>
  <si>
    <t xml:space="preserve">Multiply the smaller of line 6 or line 9 by 12.4% (0.124)</t>
  </si>
  <si>
    <t xml:space="preserve">11</t>
  </si>
  <si>
    <t xml:space="preserve">Multiply line 6 by 2.9% (0.029)</t>
  </si>
  <si>
    <t xml:space="preserve">12</t>
  </si>
  <si>
    <t xml:space="preserve">Self-employment tax. Add lines 10 and 11. Enter here and on Schedule 2 (Form 1040), line 4</t>
  </si>
  <si>
    <t xml:space="preserve">13</t>
  </si>
  <si>
    <t xml:space="preserve">Deduction for one-half of self-employment tax.  Multiply line 12 by 50% (0.50). Enter here and on Schedule 1 (Form 1040), line 14</t>
  </si>
  <si>
    <t xml:space="preserve">Part II  Optional Methods To Figure Net Earnings (see instructions)</t>
  </si>
  <si>
    <r>
      <rPr>
        <b val="true"/>
        <sz val="10"/>
        <rFont val="Arial"/>
        <family val="2"/>
        <charset val="1"/>
      </rPr>
      <t xml:space="preserve">Farm Optional Method.</t>
    </r>
    <r>
      <rPr>
        <sz val="10"/>
        <rFont val="Arial"/>
        <family val="2"/>
        <charset val="1"/>
      </rPr>
      <t xml:space="preserve"> You may use this method only if (a) your gross farm income 1 wasn’t more than</t>
    </r>
  </si>
  <si>
    <t xml:space="preserve">$8,460, or (b) your net farm profits 2 were less than $6,107.</t>
  </si>
  <si>
    <t xml:space="preserve">14</t>
  </si>
  <si>
    <t xml:space="preserve">Maximum income for optional methods</t>
  </si>
  <si>
    <t xml:space="preserve">15</t>
  </si>
  <si>
    <t xml:space="preserve">Enter the smaller of: two-thirds ( 2 / 3 ) of gross farm income (not less than zero) or $5,640. Also, include this amount on line 4b above</t>
  </si>
  <si>
    <r>
      <rPr>
        <b val="true"/>
        <sz val="10"/>
        <rFont val="Arial"/>
        <family val="2"/>
        <charset val="1"/>
      </rPr>
      <t xml:space="preserve">Nonfarm Optional Method.</t>
    </r>
    <r>
      <rPr>
        <sz val="10"/>
        <rFont val="Arial"/>
        <family val="2"/>
        <charset val="1"/>
      </rPr>
      <t xml:space="preserve"> You may use this method only if (a) your net nonfarm profits 3 were less than $6,107</t>
    </r>
  </si>
  <si>
    <t xml:space="preserve">and also less than 72.189% of your gross nonfarm income, 4 and (b) you had net earnings from self-employment</t>
  </si>
  <si>
    <t xml:space="preserve">of at least $400 in 2 of the prior 3 years. Caution: You may use this method no more than five times.</t>
  </si>
  <si>
    <t xml:space="preserve">16</t>
  </si>
  <si>
    <t xml:space="preserve">Subtract line 15 from line 14</t>
  </si>
  <si>
    <t xml:space="preserve">17</t>
  </si>
  <si>
    <t xml:space="preserve">Enter the smaller of: two-thirds ( 2 / 3 ) of gross nonfarm income 4 (not less than zero) or the amount on line 16. Also, include this amount on line 4b above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</si>
</sst>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EE6EF"/>
        <bgColor rgb="FFCCFFFF"/>
      </patternFill>
    </fill>
    <fill>
      <patternFill patternType="solid">
        <fgColor rgb="FFCCCCCC"/>
        <bgColor rgb="FFCCCCFF"/>
      </patternFill>
    </fill>
    <fill>
      <patternFill patternType="solid">
        <fgColor rgb="FFFFFFFF"/>
        <bgColor rgb="FFFFFFCC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5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0" colorId="64" zoomScale="77" zoomScaleNormal="77" zoomScalePageLayoutView="100" workbookViewId="0">
      <selection pane="topLeft" activeCell="F44" activeCellId="0" sqref="F44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78.58"/>
    <col collapsed="false" customWidth="true" hidden="false" outlineLevel="0" max="3" min="3" style="0" width="3.57"/>
    <col collapsed="false" customWidth="true" hidden="false" outlineLevel="0" max="5" min="5" style="0" width="3.57"/>
    <col collapsed="false" customWidth="true" hidden="false" outlineLevel="0" max="6" min="6" style="0" width="11.42"/>
  </cols>
  <sheetData>
    <row r="1" customFormat="false" ht="12.7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2.7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24" hidden="false" customHeight="true" outlineLevel="0" collapsed="false">
      <c r="A5" s="3" t="s">
        <v>2</v>
      </c>
      <c r="B5" s="3"/>
      <c r="C5" s="3"/>
      <c r="D5" s="3"/>
    </row>
    <row r="6" customFormat="false" ht="24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</row>
    <row r="8" customFormat="false" ht="13.5" hidden="false" customHeight="false" outlineLevel="0" collapsed="false">
      <c r="A8" s="6" t="s">
        <v>5</v>
      </c>
      <c r="B8" s="6"/>
      <c r="C8" s="6"/>
      <c r="D8" s="6"/>
    </row>
    <row r="9" customFormat="false" ht="12.75" hidden="false" customHeight="false" outlineLevel="0" collapsed="false">
      <c r="A9" s="7" t="s">
        <v>6</v>
      </c>
      <c r="B9" s="8" t="s">
        <v>7</v>
      </c>
      <c r="C9" s="9"/>
      <c r="D9" s="9"/>
      <c r="E9" s="10" t="s">
        <v>6</v>
      </c>
      <c r="F9" s="11"/>
    </row>
    <row r="10" customFormat="false" ht="23.25" hidden="false" customHeight="true" outlineLevel="0" collapsed="false">
      <c r="A10" s="12" t="s">
        <v>8</v>
      </c>
      <c r="B10" s="13" t="s">
        <v>9</v>
      </c>
      <c r="C10" s="13"/>
      <c r="D10" s="13"/>
      <c r="E10" s="14" t="s">
        <v>8</v>
      </c>
      <c r="F10" s="15"/>
    </row>
    <row r="11" customFormat="false" ht="12.75" hidden="false" customHeight="false" outlineLevel="0" collapsed="false">
      <c r="A11" s="16" t="s">
        <v>10</v>
      </c>
      <c r="B11" s="16"/>
      <c r="C11" s="16"/>
      <c r="D11" s="16"/>
      <c r="E11" s="17"/>
      <c r="F11" s="18"/>
    </row>
    <row r="12" customFormat="false" ht="12.75" hidden="false" customHeight="false" outlineLevel="0" collapsed="false">
      <c r="A12" s="12" t="s">
        <v>11</v>
      </c>
      <c r="B12" s="19" t="s">
        <v>12</v>
      </c>
      <c r="C12" s="19"/>
      <c r="D12" s="19"/>
      <c r="E12" s="14" t="s">
        <v>11</v>
      </c>
      <c r="F12" s="15"/>
    </row>
    <row r="13" customFormat="false" ht="12.75" hidden="false" customHeight="false" outlineLevel="0" collapsed="false">
      <c r="A13" s="12" t="s">
        <v>13</v>
      </c>
      <c r="B13" s="19" t="s">
        <v>14</v>
      </c>
      <c r="C13" s="19"/>
      <c r="D13" s="19"/>
      <c r="E13" s="14" t="s">
        <v>13</v>
      </c>
      <c r="F13" s="15" t="n">
        <f aca="false">SUM(F9:F12)</f>
        <v>0</v>
      </c>
    </row>
    <row r="14" customFormat="false" ht="12.75" hidden="false" customHeight="false" outlineLevel="0" collapsed="false">
      <c r="A14" s="12" t="s">
        <v>15</v>
      </c>
      <c r="B14" s="19" t="s">
        <v>16</v>
      </c>
      <c r="C14" s="19"/>
      <c r="D14" s="19"/>
      <c r="E14" s="14" t="s">
        <v>15</v>
      </c>
      <c r="F14" s="15" t="n">
        <f aca="false">ROUND(IF(F13&gt;0,0.9235*F13,F13),2)</f>
        <v>0</v>
      </c>
    </row>
    <row r="15" customFormat="false" ht="12.75" hidden="false" customHeight="false" outlineLevel="0" collapsed="false">
      <c r="A15" s="16" t="s">
        <v>17</v>
      </c>
      <c r="B15" s="16"/>
      <c r="C15" s="16"/>
      <c r="D15" s="16"/>
      <c r="E15" s="17"/>
      <c r="F15" s="18"/>
    </row>
    <row r="16" customFormat="false" ht="12.75" hidden="false" customHeight="false" outlineLevel="0" collapsed="false">
      <c r="A16" s="12" t="s">
        <v>18</v>
      </c>
      <c r="B16" s="19" t="s">
        <v>19</v>
      </c>
      <c r="C16" s="19"/>
      <c r="D16" s="19"/>
      <c r="E16" s="14" t="s">
        <v>18</v>
      </c>
      <c r="F16" s="15" t="n">
        <f aca="false">F39+F44</f>
        <v>0</v>
      </c>
    </row>
    <row r="17" customFormat="false" ht="12.75" hidden="false" customHeight="false" outlineLevel="0" collapsed="false">
      <c r="A17" s="12" t="s">
        <v>20</v>
      </c>
      <c r="B17" s="19" t="s">
        <v>21</v>
      </c>
      <c r="C17" s="19"/>
      <c r="D17" s="19"/>
      <c r="E17" s="14" t="s">
        <v>20</v>
      </c>
      <c r="F17" s="15" t="n">
        <f aca="false">F14+F16</f>
        <v>0</v>
      </c>
    </row>
    <row r="18" customFormat="false" ht="12.75" hidden="false" customHeight="false" outlineLevel="0" collapsed="false">
      <c r="A18" s="16" t="s">
        <v>22</v>
      </c>
      <c r="B18" s="16"/>
      <c r="C18" s="16"/>
      <c r="D18" s="16"/>
      <c r="E18" s="17"/>
      <c r="F18" s="18"/>
    </row>
    <row r="19" customFormat="false" ht="12.75" hidden="false" customHeight="false" outlineLevel="0" collapsed="false">
      <c r="A19" s="12" t="s">
        <v>23</v>
      </c>
      <c r="B19" s="19" t="s">
        <v>24</v>
      </c>
      <c r="C19" s="14" t="s">
        <v>23</v>
      </c>
      <c r="D19" s="20"/>
      <c r="E19" s="17"/>
      <c r="F19" s="21" t="n">
        <f aca="false">ROUND(D19*0.9235,2)</f>
        <v>0</v>
      </c>
    </row>
    <row r="20" customFormat="false" ht="12.75" hidden="false" customHeight="false" outlineLevel="0" collapsed="false">
      <c r="A20" s="12" t="s">
        <v>25</v>
      </c>
      <c r="B20" s="19" t="s">
        <v>26</v>
      </c>
      <c r="C20" s="19"/>
      <c r="D20" s="19"/>
      <c r="E20" s="14" t="s">
        <v>25</v>
      </c>
      <c r="F20" s="15" t="n">
        <f aca="false">IF(F19&lt;100,0,F19)</f>
        <v>0</v>
      </c>
    </row>
    <row r="21" customFormat="false" ht="12.75" hidden="false" customHeight="false" outlineLevel="0" collapsed="false">
      <c r="A21" s="12" t="s">
        <v>27</v>
      </c>
      <c r="B21" s="19" t="s">
        <v>28</v>
      </c>
      <c r="C21" s="19"/>
      <c r="D21" s="19"/>
      <c r="E21" s="14" t="s">
        <v>27</v>
      </c>
      <c r="F21" s="15" t="n">
        <f aca="false">F17+F20</f>
        <v>0</v>
      </c>
    </row>
    <row r="22" customFormat="false" ht="12.75" hidden="false" customHeight="false" outlineLevel="0" collapsed="false">
      <c r="A22" s="12" t="s">
        <v>29</v>
      </c>
      <c r="B22" s="19" t="s">
        <v>30</v>
      </c>
      <c r="C22" s="19"/>
      <c r="D22" s="19"/>
      <c r="E22" s="14" t="s">
        <v>29</v>
      </c>
      <c r="F22" s="15" t="n">
        <v>176100</v>
      </c>
    </row>
    <row r="23" customFormat="false" ht="12.75" hidden="false" customHeight="false" outlineLevel="0" collapsed="false">
      <c r="A23" s="16" t="s">
        <v>31</v>
      </c>
      <c r="B23" s="16"/>
      <c r="C23" s="16"/>
      <c r="D23" s="16"/>
      <c r="E23" s="17"/>
      <c r="F23" s="18"/>
    </row>
    <row r="24" customFormat="false" ht="38.25" hidden="false" customHeight="false" outlineLevel="0" collapsed="false">
      <c r="A24" s="12" t="s">
        <v>32</v>
      </c>
      <c r="B24" s="13" t="s">
        <v>33</v>
      </c>
      <c r="C24" s="14" t="s">
        <v>32</v>
      </c>
      <c r="D24" s="20"/>
      <c r="E24" s="17"/>
      <c r="F24" s="18"/>
    </row>
    <row r="25" customFormat="false" ht="12.75" hidden="false" customHeight="false" outlineLevel="0" collapsed="false">
      <c r="A25" s="12" t="s">
        <v>34</v>
      </c>
      <c r="B25" s="19" t="s">
        <v>35</v>
      </c>
      <c r="C25" s="14" t="s">
        <v>34</v>
      </c>
      <c r="D25" s="20"/>
      <c r="E25" s="17"/>
      <c r="F25" s="18"/>
    </row>
    <row r="26" customFormat="false" ht="12.75" hidden="false" customHeight="false" outlineLevel="0" collapsed="false">
      <c r="A26" s="12" t="s">
        <v>36</v>
      </c>
      <c r="B26" s="19" t="s">
        <v>37</v>
      </c>
      <c r="C26" s="14" t="s">
        <v>36</v>
      </c>
      <c r="D26" s="20"/>
      <c r="E26" s="17"/>
      <c r="F26" s="18"/>
    </row>
    <row r="27" customFormat="false" ht="12.75" hidden="false" customHeight="false" outlineLevel="0" collapsed="false">
      <c r="A27" s="12" t="s">
        <v>38</v>
      </c>
      <c r="B27" s="19" t="s">
        <v>39</v>
      </c>
      <c r="C27" s="19"/>
      <c r="D27" s="19"/>
      <c r="E27" s="14" t="s">
        <v>38</v>
      </c>
      <c r="F27" s="15" t="n">
        <f aca="false">SUM(D24:D26)</f>
        <v>0</v>
      </c>
    </row>
    <row r="28" customFormat="false" ht="12.75" hidden="false" customHeight="false" outlineLevel="0" collapsed="false">
      <c r="A28" s="12" t="s">
        <v>40</v>
      </c>
      <c r="B28" s="19" t="s">
        <v>41</v>
      </c>
      <c r="C28" s="19"/>
      <c r="D28" s="19"/>
      <c r="E28" s="14" t="s">
        <v>40</v>
      </c>
      <c r="F28" s="15" t="n">
        <f aca="false">F22-F27</f>
        <v>176100</v>
      </c>
    </row>
    <row r="29" customFormat="false" ht="12.75" hidden="false" customHeight="false" outlineLevel="0" collapsed="false">
      <c r="A29" s="12" t="s">
        <v>42</v>
      </c>
      <c r="B29" s="19" t="s">
        <v>43</v>
      </c>
      <c r="C29" s="19"/>
      <c r="D29" s="19"/>
      <c r="E29" s="14" t="s">
        <v>42</v>
      </c>
      <c r="F29" s="15" t="n">
        <f aca="false">ROUND(0.124 * MIN(F21,F28), 2)</f>
        <v>0</v>
      </c>
    </row>
    <row r="30" customFormat="false" ht="12.75" hidden="false" customHeight="false" outlineLevel="0" collapsed="false">
      <c r="A30" s="12" t="s">
        <v>44</v>
      </c>
      <c r="B30" s="19" t="s">
        <v>45</v>
      </c>
      <c r="C30" s="19"/>
      <c r="D30" s="19"/>
      <c r="E30" s="14" t="s">
        <v>44</v>
      </c>
      <c r="F30" s="15" t="n">
        <f aca="false">ROUND(0.029*F21,2)</f>
        <v>0</v>
      </c>
    </row>
    <row r="31" customFormat="false" ht="12.75" hidden="false" customHeight="false" outlineLevel="0" collapsed="false">
      <c r="A31" s="12" t="s">
        <v>46</v>
      </c>
      <c r="B31" s="19" t="s">
        <v>47</v>
      </c>
      <c r="C31" s="19"/>
      <c r="D31" s="19"/>
      <c r="E31" s="14" t="s">
        <v>46</v>
      </c>
      <c r="F31" s="22" t="n">
        <f aca="false">F30+F29</f>
        <v>0</v>
      </c>
    </row>
    <row r="32" customFormat="false" ht="26.25" hidden="false" customHeight="false" outlineLevel="0" collapsed="false">
      <c r="A32" s="23" t="s">
        <v>48</v>
      </c>
      <c r="B32" s="24" t="s">
        <v>49</v>
      </c>
      <c r="C32" s="25" t="s">
        <v>48</v>
      </c>
      <c r="D32" s="26" t="n">
        <f aca="false">ROUND(F31/2,2)</f>
        <v>0</v>
      </c>
      <c r="E32" s="27"/>
      <c r="F32" s="28"/>
    </row>
    <row r="34" customFormat="false" ht="12.75" hidden="false" customHeight="false" outlineLevel="0" collapsed="false">
      <c r="A34" s="2" t="s">
        <v>50</v>
      </c>
      <c r="B34" s="2"/>
      <c r="C34" s="2"/>
      <c r="D34" s="2"/>
      <c r="E34" s="2"/>
      <c r="F34" s="2"/>
    </row>
    <row r="35" customFormat="false" ht="12.75" hidden="false" customHeight="false" outlineLevel="0" collapsed="false">
      <c r="A35" s="29" t="s">
        <v>51</v>
      </c>
      <c r="B35" s="29"/>
      <c r="C35" s="29"/>
      <c r="D35" s="29"/>
    </row>
    <row r="36" customFormat="false" ht="12.75" hidden="false" customHeight="false" outlineLevel="0" collapsed="false">
      <c r="A36" s="6" t="s">
        <v>52</v>
      </c>
      <c r="B36" s="6"/>
      <c r="C36" s="6"/>
      <c r="D36" s="6"/>
    </row>
    <row r="37" customFormat="false" ht="13.5" hidden="false" customHeight="false" outlineLevel="0" collapsed="false"/>
    <row r="38" customFormat="false" ht="12.75" hidden="false" customHeight="false" outlineLevel="0" collapsed="false">
      <c r="A38" s="7" t="s">
        <v>53</v>
      </c>
      <c r="B38" s="8" t="s">
        <v>54</v>
      </c>
      <c r="C38" s="8"/>
      <c r="D38" s="8"/>
      <c r="E38" s="10" t="s">
        <v>53</v>
      </c>
      <c r="F38" s="11" t="n">
        <v>7240</v>
      </c>
    </row>
    <row r="39" customFormat="false" ht="25.5" hidden="false" customHeight="true" outlineLevel="0" collapsed="false">
      <c r="A39" s="23" t="s">
        <v>55</v>
      </c>
      <c r="B39" s="24" t="s">
        <v>56</v>
      </c>
      <c r="C39" s="24"/>
      <c r="D39" s="24"/>
      <c r="E39" s="25" t="s">
        <v>55</v>
      </c>
      <c r="F39" s="30"/>
    </row>
    <row r="40" customFormat="false" ht="12.75" hidden="false" customHeight="false" outlineLevel="0" collapsed="false">
      <c r="A40" s="31" t="s">
        <v>57</v>
      </c>
      <c r="B40" s="31"/>
      <c r="C40" s="31"/>
      <c r="D40" s="31"/>
      <c r="E40" s="32"/>
      <c r="F40" s="33"/>
      <c r="G40" s="34"/>
    </row>
    <row r="41" customFormat="false" ht="12.75" hidden="false" customHeight="false" outlineLevel="0" collapsed="false">
      <c r="A41" s="35" t="s">
        <v>58</v>
      </c>
      <c r="B41" s="35"/>
      <c r="C41" s="35"/>
      <c r="D41" s="35"/>
      <c r="E41" s="32"/>
      <c r="F41" s="33"/>
      <c r="G41" s="34"/>
    </row>
    <row r="42" customFormat="false" ht="13.5" hidden="false" customHeight="false" outlineLevel="0" collapsed="false">
      <c r="A42" s="35" t="s">
        <v>59</v>
      </c>
      <c r="B42" s="35"/>
      <c r="C42" s="35"/>
      <c r="D42" s="35"/>
      <c r="E42" s="32"/>
      <c r="F42" s="33"/>
      <c r="G42" s="34"/>
    </row>
    <row r="43" customFormat="false" ht="12.75" hidden="false" customHeight="false" outlineLevel="0" collapsed="false">
      <c r="A43" s="7" t="s">
        <v>60</v>
      </c>
      <c r="B43" s="8" t="s">
        <v>61</v>
      </c>
      <c r="C43" s="8"/>
      <c r="D43" s="8"/>
      <c r="E43" s="10" t="s">
        <v>60</v>
      </c>
      <c r="F43" s="11" t="n">
        <f aca="false">F38-F39</f>
        <v>7240</v>
      </c>
    </row>
    <row r="44" customFormat="false" ht="13.5" hidden="false" customHeight="false" outlineLevel="0" collapsed="false">
      <c r="A44" s="23" t="s">
        <v>62</v>
      </c>
      <c r="B44" s="36" t="s">
        <v>63</v>
      </c>
      <c r="C44" s="36"/>
      <c r="D44" s="36"/>
      <c r="E44" s="25" t="s">
        <v>62</v>
      </c>
      <c r="F44" s="30"/>
    </row>
  </sheetData>
  <mergeCells count="33">
    <mergeCell ref="A1:F1"/>
    <mergeCell ref="A3:F3"/>
    <mergeCell ref="A5:D5"/>
    <mergeCell ref="B6:F6"/>
    <mergeCell ref="A8:D8"/>
    <mergeCell ref="B10:D10"/>
    <mergeCell ref="A11:D11"/>
    <mergeCell ref="B12:D12"/>
    <mergeCell ref="B13:D13"/>
    <mergeCell ref="B14:D14"/>
    <mergeCell ref="A15:D15"/>
    <mergeCell ref="B16:D16"/>
    <mergeCell ref="B17:D17"/>
    <mergeCell ref="A18:D18"/>
    <mergeCell ref="B20:D20"/>
    <mergeCell ref="B21:D21"/>
    <mergeCell ref="B22:D22"/>
    <mergeCell ref="A23:D23"/>
    <mergeCell ref="B27:D27"/>
    <mergeCell ref="B28:D28"/>
    <mergeCell ref="B29:D29"/>
    <mergeCell ref="B30:D30"/>
    <mergeCell ref="B31:D31"/>
    <mergeCell ref="A34:F34"/>
    <mergeCell ref="A35:D35"/>
    <mergeCell ref="A36:D36"/>
    <mergeCell ref="B38:D38"/>
    <mergeCell ref="B39:D39"/>
    <mergeCell ref="A40:D40"/>
    <mergeCell ref="A41:D41"/>
    <mergeCell ref="A42:D42"/>
    <mergeCell ref="B43:D43"/>
    <mergeCell ref="B44:D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2022-03-14T14:59:21Z</dcterms:created>
  <dc:creator>JCC</dc:creator>
  <dc:description/>
  <dc:language>en-US</dc:language>
  <cp:lastModifiedBy/>
  <dcterms:modified xsi:type="dcterms:W3CDTF">2026-03-23T12:24:27Z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